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One-Time" sheetId="3" state="visible" r:id="rId3"/>
    <sheet name="Month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($#,##0.00);&quot;-&quot;"/>
    <numFmt numFmtId="165" formatCode="0.00%;(0.00%);&quot;-&quot;"/>
    <numFmt numFmtId="166" formatCode="$#,##0;($#,##0);&quot;-&quot;"/>
  </numFmts>
  <fonts count="11">
    <font>
      <name val="Calibri"/>
      <family val="2"/>
      <color theme="1"/>
      <sz val="11"/>
      <scheme val="minor"/>
    </font>
    <font>
      <name val="Arial"/>
      <b val="1"/>
      <color rgb="000A6CFF"/>
      <sz val="16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  <font>
      <name val="Arial"/>
      <b val="1"/>
      <color rgb="00008000"/>
    </font>
    <font>
      <name val="Arial"/>
      <color rgb="00008000"/>
    </font>
    <font>
      <name val="Arial"/>
      <color rgb="0000000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0A6CFF"/>
      </patternFill>
    </fill>
    <fill>
      <patternFill patternType="solid">
        <fgColor rgb="00FFFF00"/>
      </patternFill>
    </fill>
    <fill>
      <patternFill patternType="solid">
        <fgColor rgb="00E6F0FF"/>
      </patternFill>
    </fill>
  </fills>
  <borders count="2">
    <border>
      <left/>
      <right/>
      <top/>
      <bottom/>
      <diagonal/>
    </border>
    <border>
      <left style="thin">
        <color rgb="00CFE2FF"/>
      </left>
      <right style="thin">
        <color rgb="00CFE2FF"/>
      </right>
      <top style="thin">
        <color rgb="00CFE2FF"/>
      </top>
      <bottom style="thin">
        <color rgb="00CFE2F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164" fontId="8" fillId="0" borderId="1" pivotButton="0" quotePrefix="0" xfId="0"/>
    <xf numFmtId="0" fontId="6" fillId="0" borderId="1" pivotButton="0" quotePrefix="0" xfId="0"/>
    <xf numFmtId="164" fontId="7" fillId="4" borderId="1" pivotButton="0" quotePrefix="0" xfId="0"/>
    <xf numFmtId="0" fontId="10" fillId="0" borderId="1" pivotButton="0" quotePrefix="0" xfId="0"/>
    <xf numFmtId="166" fontId="6" fillId="3" borderId="1" pivotButton="0" quotePrefix="0" xfId="0"/>
    <xf numFmtId="0" fontId="6" fillId="0" borderId="0" pivotButton="0" quotePrefix="0" xfId="0"/>
    <xf numFmtId="0" fontId="4" fillId="0" borderId="0" pivotButton="0" quotePrefix="0" xfId="0"/>
    <xf numFmtId="164" fontId="4" fillId="0" borderId="1" pivotButton="0" quotePrefix="0" xfId="0"/>
    <xf numFmtId="3" fontId="6" fillId="3" borderId="1" pivotButton="0" quotePrefix="0" xfId="0"/>
    <xf numFmtId="3" fontId="5" fillId="3" borderId="1" pivotButton="0" quotePrefix="0" xfId="0"/>
    <xf numFmtId="164" fontId="5" fillId="0" borderId="1" pivotButton="0" quotePrefix="0" xfId="0"/>
    <xf numFmtId="3" fontId="5" fillId="0" borderId="1" pivotButton="0" quotePrefix="0" xfId="0"/>
    <xf numFmtId="165" fontId="5" fillId="0" borderId="1" pivotButton="0" quotePrefix="0" xfId="0"/>
    <xf numFmtId="165" fontId="5" fillId="3" borderId="1" pivotButton="0" quotePrefix="0" xfId="0"/>
    <xf numFmtId="164" fontId="6" fillId="4" borderId="1" pivotButton="0" quotePrefix="0" xfId="0"/>
    <xf numFmtId="0" fontId="7" fillId="0" borderId="1" pivotButton="0" quotePrefix="0" xfId="0"/>
    <xf numFmtId="0" fontId="4" fillId="0" borderId="1" applyAlignment="1" pivotButton="0" quotePrefix="0" xfId="0">
      <alignment vertical="top" wrapText="1"/>
    </xf>
    <xf numFmtId="0" fontId="9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8" customWidth="1" min="3" max="3"/>
    <col width="70" customWidth="1" min="4" max="4"/>
  </cols>
  <sheetData>
    <row r="1">
      <c r="A1" s="1" t="inlineStr">
        <is>
          <t>My Office Bot - Launch Budget</t>
        </is>
      </c>
      <c r="B1" s="2" t="n"/>
      <c r="C1" s="2" t="n"/>
      <c r="D1" s="2" t="n"/>
    </row>
    <row r="2">
      <c r="A2" s="3" t="inlineStr">
        <is>
          <t>Prepared by Claude, reviewed with ChatGPT (R&amp;D 009), 2026-10-23. Excludes your time, marketing and AI tool subscriptions. Change numbers on the Inputs tab.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/>
      <c r="B4" s="4" t="inlineStr">
        <is>
          <t>Lean ($)</t>
        </is>
      </c>
      <c r="C4" s="4" t="inlineStr">
        <is>
          <t>Recommended ($)</t>
        </is>
      </c>
      <c r="D4" s="4" t="inlineStr">
        <is>
          <t>What it means</t>
        </is>
      </c>
    </row>
    <row r="5">
      <c r="A5" s="5" t="inlineStr">
        <is>
          <t>Already spent</t>
        </is>
      </c>
      <c r="B5" s="6">
        <f>'One-Time'!B18</f>
        <v/>
      </c>
      <c r="C5" s="6">
        <f>'One-Time'!C18</f>
        <v/>
      </c>
      <c r="D5" s="5" t="inlineStr">
        <is>
          <t>The domain.</t>
        </is>
      </c>
    </row>
    <row r="6">
      <c r="A6" s="5" t="inlineStr">
        <is>
          <t>One-time setup (incl. already spent)</t>
        </is>
      </c>
      <c r="B6" s="6">
        <f>'One-Time'!B17</f>
        <v/>
      </c>
      <c r="C6" s="6">
        <f>'One-Time'!C17</f>
        <v/>
      </c>
      <c r="D6" s="5" t="inlineStr">
        <is>
          <t>LLC, texting registration, legal, insurance - see One-Time tab.</t>
        </is>
      </c>
    </row>
    <row r="7">
      <c r="A7" s="5" t="inlineStr">
        <is>
          <t>Monthly while building</t>
        </is>
      </c>
      <c r="B7" s="6">
        <f>Monthly!B16</f>
        <v/>
      </c>
      <c r="C7" s="6">
        <f>Monthly!B16</f>
        <v/>
      </c>
      <c r="D7" s="5" t="inlineStr">
        <is>
          <t>Free tiers until the beta engine works.</t>
        </is>
      </c>
    </row>
    <row r="8">
      <c r="A8" s="5" t="inlineStr">
        <is>
          <t>Monthly during private beta</t>
        </is>
      </c>
      <c r="B8" s="6">
        <f>Monthly!C16</f>
        <v/>
      </c>
      <c r="C8" s="6">
        <f>Monthly!D16</f>
        <v/>
      </c>
      <c r="D8" s="5" t="inlineStr">
        <is>
          <t>Hosting, database, texting, usage for the beta contractors.</t>
        </is>
      </c>
    </row>
    <row r="9">
      <c r="A9" s="7" t="inlineStr">
        <is>
          <t>First 3 months total</t>
        </is>
      </c>
      <c r="B9" s="8">
        <f>B6+B7*Inputs!$B$11+B8*Inputs!$B$12</f>
        <v/>
      </c>
      <c r="C9" s="8">
        <f>C6+C7*Inputs!$B$11+C8*Inputs!$B$12</f>
        <v/>
      </c>
      <c r="D9" s="5" t="inlineStr">
        <is>
          <t>One-time + build month(s) + beta months.</t>
        </is>
      </c>
    </row>
    <row r="10">
      <c r="A10" s="7" t="inlineStr">
        <is>
          <t>Suggested cash reserve (recommended + contingency, rounded up)</t>
        </is>
      </c>
      <c r="B10" s="9" t="n"/>
      <c r="C10" s="10">
        <f>ROUNDUP(C9*(1+Inputs!$B$19),-2)</f>
        <v/>
      </c>
      <c r="D10" s="5" t="inlineStr">
        <is>
          <t>The number to set aside to launch.</t>
        </is>
      </c>
    </row>
    <row r="11">
      <c r="A11" s="2" t="n"/>
      <c r="B11" s="2" t="n"/>
      <c r="C11" s="2" t="n"/>
      <c r="D11" s="2" t="n"/>
    </row>
    <row r="12">
      <c r="A12" s="11" t="inlineStr">
        <is>
          <t>Break-even</t>
        </is>
      </c>
      <c r="B12" s="2" t="n"/>
      <c r="C12" s="2" t="n"/>
      <c r="D12" s="2" t="n"/>
    </row>
    <row r="13">
      <c r="A13" s="12" t="inlineStr">
        <is>
          <t>Left over per paying customer after texts and card fees</t>
        </is>
      </c>
      <c r="B13" s="2" t="n"/>
      <c r="C13" s="13">
        <f>Inputs!$B$14-Inputs!$B$6*Inputs!$B$25-(Inputs!$B$14*(Inputs!$B$16+Inputs!$B$18)+Inputs!$B$17)</f>
        <v/>
      </c>
      <c r="D13" s="12" t="inlineStr">
        <is>
          <t>$49 minus messaging and Stripe for one location.</t>
        </is>
      </c>
    </row>
    <row r="14">
      <c r="A14" s="12" t="inlineStr">
        <is>
          <t>Fixed monthly costs (recommended beta, excluding usage)</t>
        </is>
      </c>
      <c r="B14" s="2" t="n"/>
      <c r="C14" s="6">
        <f>Monthly!D16-Monthly!D9</f>
        <v/>
      </c>
      <c r="D14" s="12" t="inlineStr">
        <is>
          <t>Hosting, database, texting fees, mailbox.</t>
        </is>
      </c>
    </row>
    <row r="15">
      <c r="A15" s="11" t="inlineStr">
        <is>
          <t>Paying customers needed to cover fixed monthly costs</t>
        </is>
      </c>
      <c r="B15" s="2" t="n"/>
      <c r="C15" s="14">
        <f>IFERROR(ROUNDUP(C14/C13,0),0)</f>
        <v/>
      </c>
      <c r="D15" s="12" t="inlineStr">
        <is>
          <t>Excludes legal, insurance, support time and marketing.</t>
        </is>
      </c>
    </row>
    <row r="16">
      <c r="A16" s="2" t="n"/>
      <c r="B16" s="2" t="n"/>
      <c r="C16" s="2" t="n"/>
      <c r="D16" s="2" t="n"/>
    </row>
    <row r="17">
      <c r="A17" s="11" t="inlineStr">
        <is>
          <t>Important</t>
        </is>
      </c>
      <c r="B17" s="2" t="n"/>
      <c r="C17" s="2" t="n"/>
      <c r="D17" s="2" t="n"/>
    </row>
    <row r="18">
      <c r="A18" s="12" t="inlineStr">
        <is>
          <t>• Lean is a technical minimum, not a legally reviewed, insured beta. Recommended is the realistic launch number.</t>
        </is>
      </c>
      <c r="B18" s="2" t="n"/>
      <c r="C18" s="2" t="n"/>
      <c r="D18" s="2" t="n"/>
    </row>
    <row r="19">
      <c r="A19" s="12" t="inlineStr">
        <is>
          <t>• Do the lawyer review and get insurance before outside contractors receive automated texts and calls.</t>
        </is>
      </c>
      <c r="B19" s="2" t="n"/>
      <c r="C19" s="2" t="n"/>
      <c r="D19" s="2" t="n"/>
    </row>
    <row r="20">
      <c r="A20" s="12" t="inlineStr">
        <is>
          <t>• Start the LLC + EIN + Twilio registration first: texting approval takes 1-3 weeks. Email alerts work meanwhile.</t>
        </is>
      </c>
      <c r="B20" s="2" t="n"/>
      <c r="C20" s="2" t="n"/>
      <c r="D20" s="2" t="n"/>
    </row>
    <row r="21">
      <c r="A21" s="12" t="inlineStr">
        <is>
          <t>• All vendor prices are list prices checked 2026-10-23, not quotes.</t>
        </is>
      </c>
      <c r="B21" s="2" t="n"/>
      <c r="C21" s="2" t="n"/>
      <c r="D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90" customWidth="1" min="4" max="4"/>
  </cols>
  <sheetData>
    <row r="1">
      <c r="A1" s="1" t="inlineStr">
        <is>
          <t>Inputs &amp; Assumptions</t>
        </is>
      </c>
      <c r="B1" s="2" t="n"/>
      <c r="C1" s="2" t="n"/>
      <c r="D1" s="2" t="n"/>
    </row>
    <row r="2">
      <c r="A2" s="3" t="inlineStr">
        <is>
          <t>Blue = numbers you can change. Yellow = key assumptions. Every other tab recalculates from these. Vendor prices checked 2026-10-23; re-check at signup.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Assumption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Source / note</t>
        </is>
      </c>
    </row>
    <row r="5">
      <c r="A5" s="5" t="inlineStr">
        <is>
          <t>Contractors in the private beta</t>
        </is>
      </c>
      <c r="B5" s="15" t="n">
        <v>10</v>
      </c>
      <c r="C5" s="5" t="inlineStr">
        <is>
          <t>contractors</t>
        </is>
      </c>
      <c r="D5" s="5" t="inlineStr">
        <is>
          <t>Planning number for the beta (3-10).</t>
        </is>
      </c>
    </row>
    <row r="6">
      <c r="A6" s="5" t="inlineStr">
        <is>
          <t>Leads per contractor per month</t>
        </is>
      </c>
      <c r="B6" s="15" t="n">
        <v>40</v>
      </c>
      <c r="C6" s="5" t="inlineStr">
        <is>
          <t>leads</t>
        </is>
      </c>
      <c r="D6" s="5" t="inlineStr">
        <is>
          <t>Typical small contractor website; replace with real data after 10 contractors.</t>
        </is>
      </c>
    </row>
    <row r="7">
      <c r="A7" s="5" t="inlineStr">
        <is>
          <t>Messaging cost per lead - lean</t>
        </is>
      </c>
      <c r="B7" s="16" t="n">
        <v>0.07000000000000001</v>
      </c>
      <c r="C7" s="5" t="inlineStr">
        <is>
          <t>$ / lead</t>
        </is>
      </c>
      <c r="D7" s="5" t="inlineStr">
        <is>
          <t>~4 SMS segments + 1 ack reply + 25% get a 1-min call + 3 emails (COSTS.md §5).</t>
        </is>
      </c>
    </row>
    <row r="8">
      <c r="A8" s="5" t="inlineStr">
        <is>
          <t>Messaging cost per lead - expected</t>
        </is>
      </c>
      <c r="B8" s="16" t="n">
        <v>0.12</v>
      </c>
      <c r="C8" s="5" t="inlineStr">
        <is>
          <t>$ / lead</t>
        </is>
      </c>
      <c r="D8" s="5" t="inlineStr">
        <is>
          <t>More segments, retries, longer calls. Agreed with ChatGPT (R&amp;D 007).</t>
        </is>
      </c>
    </row>
    <row r="9">
      <c r="A9" s="5" t="inlineStr">
        <is>
          <t>Messaging cost per lead - stress</t>
        </is>
      </c>
      <c r="B9" s="16" t="n">
        <v>0.28</v>
      </c>
      <c r="C9" s="5" t="inlineStr">
        <is>
          <t>$ / lead</t>
        </is>
      </c>
      <c r="D9" s="5" t="inlineStr">
        <is>
          <t>Heavy escalation, more contacts, retries.</t>
        </is>
      </c>
    </row>
    <row r="10">
      <c r="A10" s="5" t="inlineStr">
        <is>
          <t>Scenario used (1 = lean, 2 = expected, 3 = stress)</t>
        </is>
      </c>
      <c r="B10" s="15" t="n">
        <v>2</v>
      </c>
      <c r="C10" s="5" t="inlineStr">
        <is>
          <t>1 / 2 / 3</t>
        </is>
      </c>
      <c r="D10" s="5" t="inlineStr">
        <is>
          <t>Change to 1 or 3 to see best / worst case.</t>
        </is>
      </c>
    </row>
    <row r="11">
      <c r="A11" s="5" t="inlineStr">
        <is>
          <t>Build months (free tiers, no customers)</t>
        </is>
      </c>
      <c r="B11" s="17" t="n">
        <v>1</v>
      </c>
      <c r="C11" s="5" t="inlineStr">
        <is>
          <t>months</t>
        </is>
      </c>
      <c r="D11" s="5" t="inlineStr">
        <is>
          <t>Vercel Hobby + Supabase Free + Resend Free while building.</t>
        </is>
      </c>
    </row>
    <row r="12">
      <c r="A12" s="5" t="inlineStr">
        <is>
          <t>Beta months in the first 3 months</t>
        </is>
      </c>
      <c r="B12" s="17" t="n">
        <v>2</v>
      </c>
      <c r="C12" s="5" t="inlineStr">
        <is>
          <t>months</t>
        </is>
      </c>
      <c r="D12" s="5" t="inlineStr"/>
    </row>
    <row r="13">
      <c r="A13" s="5" t="inlineStr">
        <is>
          <t>Paying customers at paid launch</t>
        </is>
      </c>
      <c r="B13" s="15" t="n">
        <v>25</v>
      </c>
      <c r="C13" s="5" t="inlineStr">
        <is>
          <t>customers</t>
        </is>
      </c>
      <c r="D13" s="5" t="inlineStr">
        <is>
          <t>Used on the Monthly tab's 'Paid launch' column.</t>
        </is>
      </c>
    </row>
    <row r="14">
      <c r="A14" s="5" t="inlineStr">
        <is>
          <t>Price per location per month</t>
        </is>
      </c>
      <c r="B14" s="16" t="n">
        <v>49</v>
      </c>
      <c r="C14" s="5" t="inlineStr">
        <is>
          <t>$ / month</t>
        </is>
      </c>
      <c r="D14" s="5" t="inlineStr">
        <is>
          <t>Decision D17.</t>
        </is>
      </c>
    </row>
    <row r="15">
      <c r="A15" s="5" t="inlineStr">
        <is>
          <t>Agency wholesale price per location</t>
        </is>
      </c>
      <c r="B15" s="16" t="n">
        <v>29</v>
      </c>
      <c r="C15" s="5" t="inlineStr">
        <is>
          <t>$ / month</t>
        </is>
      </c>
      <c r="D15" s="5" t="inlineStr">
        <is>
          <t>Decision D17.</t>
        </is>
      </c>
    </row>
    <row r="16">
      <c r="A16" s="5" t="inlineStr">
        <is>
          <t>Stripe card fee</t>
        </is>
      </c>
      <c r="B16" s="18" t="n">
        <v>0.029</v>
      </c>
      <c r="C16" s="5" t="inlineStr">
        <is>
          <t>% of charge</t>
        </is>
      </c>
      <c r="D16" s="5" t="inlineStr">
        <is>
          <t>https://stripe.com/pricing</t>
        </is>
      </c>
    </row>
    <row r="17">
      <c r="A17" s="5" t="inlineStr">
        <is>
          <t>Stripe fixed fee per charge</t>
        </is>
      </c>
      <c r="B17" s="16" t="n">
        <v>0.3</v>
      </c>
      <c r="C17" s="5" t="inlineStr">
        <is>
          <t>$ / charge</t>
        </is>
      </c>
      <c r="D17" s="5" t="inlineStr">
        <is>
          <t>https://stripe.com/pricing</t>
        </is>
      </c>
    </row>
    <row r="18">
      <c r="A18" s="5" t="inlineStr">
        <is>
          <t>Stripe Billing fee</t>
        </is>
      </c>
      <c r="B18" s="18" t="n">
        <v>0.007</v>
      </c>
      <c r="C18" s="5" t="inlineStr">
        <is>
          <t>% of charge</t>
        </is>
      </c>
      <c r="D18" s="5" t="inlineStr">
        <is>
          <t>Stripe Billing (subscriptions).</t>
        </is>
      </c>
    </row>
    <row r="19">
      <c r="A19" s="5" t="inlineStr">
        <is>
          <t>Contingency on recommended budget</t>
        </is>
      </c>
      <c r="B19" s="19" t="n">
        <v>0.1</v>
      </c>
      <c r="C19" s="5" t="inlineStr">
        <is>
          <t>%</t>
        </is>
      </c>
      <c r="D19" s="5" t="inlineStr">
        <is>
          <t>ChatGPT recommends 10-15%.</t>
        </is>
      </c>
    </row>
    <row r="20">
      <c r="A20" s="5" t="inlineStr">
        <is>
          <t>Texas LLC filing fee (Form 205)</t>
        </is>
      </c>
      <c r="B20" s="16" t="n">
        <v>300</v>
      </c>
      <c r="C20" s="5" t="inlineStr">
        <is>
          <t>$</t>
        </is>
      </c>
      <c r="D20" s="5" t="inlineStr">
        <is>
          <t>Texas SOS; https://www.sos.state.tx.us</t>
        </is>
      </c>
    </row>
    <row r="21">
      <c r="A21" s="5" t="inlineStr">
        <is>
          <t>Texas SOS online card surcharge</t>
        </is>
      </c>
      <c r="B21" s="18" t="n">
        <v>0.0225</v>
      </c>
      <c r="C21" s="5" t="inlineStr">
        <is>
          <t>%</t>
        </is>
      </c>
      <c r="D21" s="5" t="inlineStr">
        <is>
          <t>2.25% + $0.25 per SOSDirect card payment (ChatGPT R&amp;D 009).</t>
        </is>
      </c>
    </row>
    <row r="22">
      <c r="A22" s="5" t="inlineStr">
        <is>
          <t>Texas SOS card surcharge fixed part</t>
        </is>
      </c>
      <c r="B22" s="16" t="n">
        <v>0.25</v>
      </c>
      <c r="C22" s="5" t="inlineStr">
        <is>
          <t>$</t>
        </is>
      </c>
      <c r="D22" s="5" t="inlineStr"/>
    </row>
    <row r="23">
      <c r="A23" s="5" t="inlineStr">
        <is>
          <t>Twilio local number</t>
        </is>
      </c>
      <c r="B23" s="16" t="n">
        <v>1.15</v>
      </c>
      <c r="C23" s="5" t="inlineStr">
        <is>
          <t>$ / month</t>
        </is>
      </c>
      <c r="D23" s="5" t="inlineStr">
        <is>
          <t>https://www.twilio.com/en-us/sms/pricing/us</t>
        </is>
      </c>
    </row>
    <row r="24">
      <c r="A24" s="5" t="inlineStr">
        <is>
          <t>Twilio numbers needed</t>
        </is>
      </c>
      <c r="B24" s="17" t="n">
        <v>2</v>
      </c>
      <c r="C24" s="5" t="inlineStr">
        <is>
          <t>numbers</t>
        </is>
      </c>
      <c r="D24" s="5" t="inlineStr">
        <is>
          <t>One alert sender + one support line.</t>
        </is>
      </c>
    </row>
    <row r="25">
      <c r="A25" s="7" t="inlineStr">
        <is>
          <t>Messaging cost per lead - selected scenario</t>
        </is>
      </c>
      <c r="B25" s="20">
        <f>CHOOSE($B$10,B7,B8,B9)</f>
        <v/>
      </c>
      <c r="C25" s="5" t="inlineStr">
        <is>
          <t>$ / lead</t>
        </is>
      </c>
      <c r="D25" s="5" t="inlineStr">
        <is>
          <t>Picks lean / expected / stress from the scenario number above.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6" customWidth="1" min="3" max="3"/>
    <col width="14" customWidth="1" min="4" max="4"/>
    <col width="26" customWidth="1" min="5" max="5"/>
    <col width="80" customWidth="1" min="6" max="6"/>
  </cols>
  <sheetData>
    <row r="1">
      <c r="A1" s="1" t="inlineStr">
        <is>
          <t>One-Time Setup Costs</t>
        </is>
      </c>
      <c r="B1" s="2" t="n"/>
      <c r="C1" s="2" t="n"/>
      <c r="D1" s="2" t="n"/>
      <c r="E1" s="2" t="n"/>
      <c r="F1" s="2" t="n"/>
    </row>
    <row r="2">
      <c r="A2" s="3" t="inlineStr">
        <is>
          <t>Pay once to get started. Lean = minimum to run a real beta. Recommended = what Claude and ChatGPT advise before outside contractors use it.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Item</t>
        </is>
      </c>
      <c r="B4" s="4" t="inlineStr">
        <is>
          <t>Lean ($)</t>
        </is>
      </c>
      <c r="C4" s="4" t="inlineStr">
        <is>
          <t>Recommended ($)</t>
        </is>
      </c>
      <c r="D4" s="4" t="inlineStr">
        <is>
          <t>Status</t>
        </is>
      </c>
      <c r="E4" s="4" t="inlineStr">
        <is>
          <t>When</t>
        </is>
      </c>
      <c r="F4" s="4" t="inlineStr">
        <is>
          <t>Notes / source</t>
        </is>
      </c>
    </row>
    <row r="5">
      <c r="A5" s="5" t="inlineStr">
        <is>
          <t>Domain myofficebot.app (year 1)</t>
        </is>
      </c>
      <c r="B5" s="16" t="n">
        <v>8.199999999999999</v>
      </c>
      <c r="C5" s="16" t="n">
        <v>8.199999999999999</v>
      </c>
      <c r="D5" s="21" t="inlineStr">
        <is>
          <t>PAID</t>
        </is>
      </c>
      <c r="E5" s="5" t="inlineStr">
        <is>
          <t>Done</t>
        </is>
      </c>
      <c r="F5" s="22" t="inlineStr">
        <is>
          <t>Cloudflare Registrar. Renews at $14.20/yr in Oct 2027.</t>
        </is>
      </c>
    </row>
    <row r="6">
      <c r="A6" s="5" t="inlineStr">
        <is>
          <t>Texas LLC filing + online card fee</t>
        </is>
      </c>
      <c r="B6" s="6">
        <f>Inputs!$B$20*(1+Inputs!$B$21)+Inputs!$B$22</f>
        <v/>
      </c>
      <c r="C6" s="6">
        <f>Inputs!$B$20*(1+Inputs!$B$21)+Inputs!$B$22</f>
        <v/>
      </c>
      <c r="D6" s="23" t="inlineStr">
        <is>
          <t>To do</t>
        </is>
      </c>
      <c r="E6" s="5" t="inlineStr">
        <is>
          <t>Before Twilio registration</t>
        </is>
      </c>
      <c r="F6" s="22" t="inlineStr">
        <is>
          <t>Needed for the EIN and the texting registration.</t>
        </is>
      </c>
    </row>
    <row r="7">
      <c r="A7" s="5" t="inlineStr">
        <is>
          <t>EIN (IRS tax ID)</t>
        </is>
      </c>
      <c r="B7" s="16" t="n">
        <v>0</v>
      </c>
      <c r="C7" s="16" t="n">
        <v>0</v>
      </c>
      <c r="D7" s="23" t="inlineStr">
        <is>
          <t>To do</t>
        </is>
      </c>
      <c r="E7" s="5" t="inlineStr">
        <is>
          <t>Right after the LLC</t>
        </is>
      </c>
      <c r="F7" s="22" t="inlineStr">
        <is>
          <t>Free at irs.gov.</t>
        </is>
      </c>
    </row>
    <row r="8">
      <c r="A8" s="5" t="inlineStr">
        <is>
          <t>Twilio texting brand registration</t>
        </is>
      </c>
      <c r="B8" s="16" t="n">
        <v>4.5</v>
      </c>
      <c r="C8" s="16" t="n">
        <v>46</v>
      </c>
      <c r="D8" s="23" t="inlineStr">
        <is>
          <t>To do</t>
        </is>
      </c>
      <c r="E8" s="5" t="inlineStr">
        <is>
          <t>Week 1 (takes 1-3 weeks)</t>
        </is>
      </c>
      <c r="F8" s="22" t="inlineStr">
        <is>
          <t>Lean = Low-Volume Standard brand (lower throughput, fine for a pilot if Twilio approves). Recommended = Standard brand with vetting.</t>
        </is>
      </c>
    </row>
    <row r="9">
      <c r="A9" s="5" t="inlineStr">
        <is>
          <t>Twilio campaign vetting</t>
        </is>
      </c>
      <c r="B9" s="16" t="n">
        <v>15</v>
      </c>
      <c r="C9" s="16" t="n">
        <v>15</v>
      </c>
      <c r="D9" s="23" t="inlineStr">
        <is>
          <t>To do</t>
        </is>
      </c>
      <c r="E9" s="5" t="inlineStr">
        <is>
          <t>With brand registration</t>
        </is>
      </c>
      <c r="F9" s="22" t="inlineStr">
        <is>
          <t>https://www.twilio.com/en-us/phone-numbers/a2p-10dlc</t>
        </is>
      </c>
    </row>
    <row r="10">
      <c r="A10" s="5" t="inlineStr">
        <is>
          <t>Twilio prepaid balance</t>
        </is>
      </c>
      <c r="B10" s="16" t="n">
        <v>20</v>
      </c>
      <c r="C10" s="16" t="n">
        <v>20</v>
      </c>
      <c r="D10" s="23" t="inlineStr">
        <is>
          <t>To do</t>
        </is>
      </c>
      <c r="E10" s="5" t="inlineStr">
        <is>
          <t>At Twilio signup</t>
        </is>
      </c>
      <c r="F10" s="22" t="inlineStr">
        <is>
          <t>Cash needed up front; it is then used up by texts/calls (not an extra cost).</t>
        </is>
      </c>
    </row>
    <row r="11">
      <c r="A11" s="5" t="inlineStr">
        <is>
          <t>Terms &amp; privacy from a template service</t>
        </is>
      </c>
      <c r="B11" s="16" t="n">
        <v>100</v>
      </c>
      <c r="C11" s="16" t="n">
        <v>0</v>
      </c>
      <c r="D11" s="23" t="inlineStr">
        <is>
          <t>To do</t>
        </is>
      </c>
      <c r="E11" s="5" t="inlineStr">
        <is>
          <t>Before beta</t>
        </is>
      </c>
      <c r="F11" s="22" t="inlineStr">
        <is>
          <t>Fine for internal testing only; replaced by the lawyer review in Recommended.</t>
        </is>
      </c>
    </row>
    <row r="12">
      <c r="A12" s="5" t="inlineStr">
        <is>
          <t>Lawyer review: terms, privacy, SMS/call consent</t>
        </is>
      </c>
      <c r="B12" s="16" t="n">
        <v>0</v>
      </c>
      <c r="C12" s="16" t="n">
        <v>2000</v>
      </c>
      <c r="D12" s="23" t="inlineStr">
        <is>
          <t>To do</t>
        </is>
      </c>
      <c r="E12" s="5" t="inlineStr">
        <is>
          <t>Before outside contractors</t>
        </is>
      </c>
      <c r="F12" s="22" t="inlineStr">
        <is>
          <t>Planning figure; typical range $1,500-3,000.</t>
        </is>
      </c>
    </row>
    <row r="13">
      <c r="A13" s="5" t="inlineStr">
        <is>
          <t>USPTO trademark (1 class)</t>
        </is>
      </c>
      <c r="B13" s="16" t="n">
        <v>0</v>
      </c>
      <c r="C13" s="16" t="n">
        <v>350</v>
      </c>
      <c r="D13" s="23" t="inlineStr">
        <is>
          <t>Optional</t>
        </is>
      </c>
      <c r="E13" s="5" t="inlineStr">
        <is>
          <t>Before spending on branding</t>
        </is>
      </c>
      <c r="F13" s="22" t="inlineStr">
        <is>
          <t>Base fee $350 per class; counsel decides class 9 and/or 42.</t>
        </is>
      </c>
    </row>
    <row r="14">
      <c r="A14" s="5" t="inlineStr">
        <is>
          <t>getmyofficebot.com (catch .com typers)</t>
        </is>
      </c>
      <c r="B14" s="16" t="n">
        <v>0</v>
      </c>
      <c r="C14" s="16" t="n">
        <v>11.17</v>
      </c>
      <c r="D14" s="23" t="inlineStr">
        <is>
          <t>Optional</t>
        </is>
      </c>
      <c r="E14" s="5" t="inlineStr">
        <is>
          <t>Any time</t>
        </is>
      </c>
      <c r="F14" s="22" t="inlineStr">
        <is>
          <t>Cloudflare .com price from Nov 1, 2026.</t>
        </is>
      </c>
    </row>
    <row r="15">
      <c r="A15" s="5" t="inlineStr">
        <is>
          <t>Cyber / tech E&amp;O insurance (year 1)</t>
        </is>
      </c>
      <c r="B15" s="16" t="n">
        <v>0</v>
      </c>
      <c r="C15" s="16" t="n">
        <v>1500</v>
      </c>
      <c r="D15" s="23" t="inlineStr">
        <is>
          <t>To do</t>
        </is>
      </c>
      <c r="E15" s="5" t="inlineStr">
        <is>
          <t>Before outside contractors</t>
        </is>
      </c>
      <c r="F15" s="22" t="inlineStr">
        <is>
          <t>Planning figure ($1,000-2,000); get a real quote.</t>
        </is>
      </c>
    </row>
    <row r="16">
      <c r="A16" s="5" t="inlineStr">
        <is>
          <t>Registered agent</t>
        </is>
      </c>
      <c r="B16" s="16" t="n">
        <v>0</v>
      </c>
      <c r="C16" s="16" t="n">
        <v>0</v>
      </c>
      <c r="D16" s="23" t="inlineStr">
        <is>
          <t>Decide</t>
        </is>
      </c>
      <c r="E16" s="5" t="inlineStr">
        <is>
          <t>With the LLC</t>
        </is>
      </c>
      <c r="F16" s="22" t="inlineStr">
        <is>
          <t>$0 if you act as your own agent; ~$50-150/yr for a service.</t>
        </is>
      </c>
    </row>
    <row r="17">
      <c r="A17" s="11" t="inlineStr">
        <is>
          <t>Total one-time</t>
        </is>
      </c>
      <c r="B17" s="20">
        <f>SUM(B5:B16)</f>
        <v/>
      </c>
      <c r="C17" s="20">
        <f>SUM(C5:C16)</f>
        <v/>
      </c>
      <c r="D17" s="2" t="n"/>
      <c r="E17" s="2" t="n"/>
      <c r="F17" s="2" t="n"/>
    </row>
    <row r="18">
      <c r="A18" s="11" t="inlineStr">
        <is>
          <t>Already spent</t>
        </is>
      </c>
      <c r="B18" s="24">
        <f>SUMIFS(B5:B16,D5:D16,"PAID")</f>
        <v/>
      </c>
      <c r="C18" s="24">
        <f>SUMIFS(C5:C16,D5:D16,"PAID")</f>
        <v/>
      </c>
      <c r="D18" s="2" t="n"/>
      <c r="E18" s="2" t="n"/>
      <c r="F1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20" customWidth="1" min="4" max="4"/>
    <col width="17" customWidth="1" min="5" max="5"/>
    <col width="78" customWidth="1" min="6" max="6"/>
  </cols>
  <sheetData>
    <row r="1">
      <c r="A1" s="1" t="inlineStr">
        <is>
          <t>Monthly Running Costs</t>
        </is>
      </c>
      <c r="B1" s="2" t="n"/>
      <c r="C1" s="2" t="n"/>
      <c r="D1" s="2" t="n"/>
      <c r="E1" s="2" t="n"/>
      <c r="F1" s="2" t="n"/>
    </row>
    <row r="2">
      <c r="A2" s="3" t="inlineStr">
        <is>
          <t>Per month, by phase. Messaging and Stripe lines are formulas driven by the Inputs tab.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Service</t>
        </is>
      </c>
      <c r="B4" s="4" t="inlineStr">
        <is>
          <t>Build ($/mo)</t>
        </is>
      </c>
      <c r="C4" s="4" t="inlineStr">
        <is>
          <t>Beta - lean ($/mo)</t>
        </is>
      </c>
      <c r="D4" s="4" t="inlineStr">
        <is>
          <t>Beta - recommended ($/mo)</t>
        </is>
      </c>
      <c r="E4" s="4" t="inlineStr">
        <is>
          <t>Paid launch ($/mo)</t>
        </is>
      </c>
      <c r="F4" s="4" t="inlineStr">
        <is>
          <t>Notes / source</t>
        </is>
      </c>
    </row>
    <row r="5">
      <c r="A5" s="5" t="inlineStr">
        <is>
          <t>Vercel hosting</t>
        </is>
      </c>
      <c r="B5" s="16" t="n">
        <v>0</v>
      </c>
      <c r="C5" s="16" t="n">
        <v>20</v>
      </c>
      <c r="D5" s="16" t="n">
        <v>20</v>
      </c>
      <c r="E5" s="16" t="n">
        <v>20</v>
      </c>
      <c r="F5" s="22" t="inlineStr">
        <is>
          <t>Hobby is free but non-commercial; Pro $20/seat for the real beta. https://vercel.com/pricing</t>
        </is>
      </c>
    </row>
    <row r="6">
      <c r="A6" s="5" t="inlineStr">
        <is>
          <t>Supabase database + login</t>
        </is>
      </c>
      <c r="B6" s="16" t="n">
        <v>0</v>
      </c>
      <c r="C6" s="16" t="n">
        <v>25</v>
      </c>
      <c r="D6" s="16" t="n">
        <v>25</v>
      </c>
      <c r="E6" s="16" t="n">
        <v>25</v>
      </c>
      <c r="F6" s="22" t="inlineStr">
        <is>
          <t>Free tier pauses idle projects, no backups; Pro $25. https://supabase.com/pricing</t>
        </is>
      </c>
    </row>
    <row r="7">
      <c r="A7" s="5" t="inlineStr">
        <is>
          <t>Twilio texting campaign fee</t>
        </is>
      </c>
      <c r="B7" s="16" t="n">
        <v>0</v>
      </c>
      <c r="C7" s="16" t="n">
        <v>1.5</v>
      </c>
      <c r="D7" s="16" t="n">
        <v>10</v>
      </c>
      <c r="E7" s="16" t="n">
        <v>10</v>
      </c>
      <c r="F7" s="22" t="inlineStr">
        <is>
          <t>Lean = low-volume campaign (~$1.50); Recommended = standard (~$10).</t>
        </is>
      </c>
    </row>
    <row r="8">
      <c r="A8" s="5" t="inlineStr">
        <is>
          <t>Twilio phone numbers</t>
        </is>
      </c>
      <c r="B8" s="16" t="n">
        <v>0</v>
      </c>
      <c r="C8" s="6">
        <f>Inputs!$B$23*Inputs!$B$24</f>
        <v/>
      </c>
      <c r="D8" s="6">
        <f>Inputs!$B$23*Inputs!$B$24</f>
        <v/>
      </c>
      <c r="E8" s="6">
        <f>Inputs!$B$23*Inputs!$B$24</f>
        <v/>
      </c>
      <c r="F8" s="22" t="inlineStr">
        <is>
          <t>From Inputs: price x count.</t>
        </is>
      </c>
    </row>
    <row r="9">
      <c r="A9" s="5" t="inlineStr">
        <is>
          <t>Texts &amp; calls usage</t>
        </is>
      </c>
      <c r="B9" s="16" t="n">
        <v>0</v>
      </c>
      <c r="C9" s="6">
        <f>Inputs!$B$5*Inputs!$B$6*Inputs!$B$25</f>
        <v/>
      </c>
      <c r="D9" s="6">
        <f>Inputs!$B$5*Inputs!$B$6*Inputs!$B$25</f>
        <v/>
      </c>
      <c r="E9" s="6">
        <f>Inputs!$B$13*Inputs!$B$6*Inputs!$B$25</f>
        <v/>
      </c>
      <c r="F9" s="22" t="inlineStr">
        <is>
          <t>Contractors (or customers) x leads x cost per lead, from Inputs.</t>
        </is>
      </c>
    </row>
    <row r="10">
      <c r="A10" s="5" t="inlineStr">
        <is>
          <t>Resend email</t>
        </is>
      </c>
      <c r="B10" s="16" t="n">
        <v>0</v>
      </c>
      <c r="C10" s="16" t="n">
        <v>0</v>
      </c>
      <c r="D10" s="16" t="n">
        <v>0</v>
      </c>
      <c r="E10" s="16" t="n">
        <v>20</v>
      </c>
      <c r="F10" s="22" t="inlineStr">
        <is>
          <t>Free up to 3,000 emails/mo; Pro $20 for 50k. https://resend.com/pricing</t>
        </is>
      </c>
    </row>
    <row r="11">
      <c r="A11" s="5" t="inlineStr">
        <is>
          <t>Business mailbox (Google Workspace)</t>
        </is>
      </c>
      <c r="B11" s="16" t="n">
        <v>0</v>
      </c>
      <c r="C11" s="16" t="n">
        <v>0</v>
      </c>
      <c r="D11" s="16" t="n">
        <v>7</v>
      </c>
      <c r="E11" s="16" t="n">
        <v>7</v>
      </c>
      <c r="F11" s="22" t="inlineStr">
        <is>
          <t>Lean = free Cloudflare Email Routing (forward only). $7/user annual plan.</t>
        </is>
      </c>
    </row>
    <row r="12">
      <c r="A12" s="5" t="inlineStr">
        <is>
          <t>Monitoring (Better Stack, Sentry)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22" t="inlineStr">
        <is>
          <t>Free tiers to start.</t>
        </is>
      </c>
    </row>
    <row r="13">
      <c r="A13" s="5" t="inlineStr">
        <is>
          <t>Bookkeeping software</t>
        </is>
      </c>
      <c r="B13" s="16" t="n">
        <v>0</v>
      </c>
      <c r="C13" s="16" t="n">
        <v>0</v>
      </c>
      <c r="D13" s="16" t="n">
        <v>0</v>
      </c>
      <c r="E13" s="16" t="n">
        <v>35</v>
      </c>
      <c r="F13" s="22" t="inlineStr">
        <is>
          <t>Optional; free options exist.</t>
        </is>
      </c>
    </row>
    <row r="14">
      <c r="A14" s="5" t="inlineStr">
        <is>
          <t>Stripe fees</t>
        </is>
      </c>
      <c r="B14" s="16" t="n">
        <v>0</v>
      </c>
      <c r="C14" s="16" t="n">
        <v>0</v>
      </c>
      <c r="D14" s="16" t="n">
        <v>0</v>
      </c>
      <c r="E14" s="6">
        <f>Inputs!$B$13*(Inputs!$B$14*(Inputs!$B$16+Inputs!$B$18)+Inputs!$B$17)</f>
        <v/>
      </c>
      <c r="F14" s="22" t="inlineStr">
        <is>
          <t>Paying customers x (price x (card % + Billing %) + $0.30).</t>
        </is>
      </c>
    </row>
    <row r="15">
      <c r="A15" s="5" t="inlineStr">
        <is>
          <t>Domain renewal</t>
        </is>
      </c>
      <c r="B15" s="16" t="n">
        <v>0</v>
      </c>
      <c r="C15" s="16" t="n">
        <v>0</v>
      </c>
      <c r="D15" s="16" t="n">
        <v>0</v>
      </c>
      <c r="E15" s="16" t="n">
        <v>0</v>
      </c>
      <c r="F15" s="22" t="inlineStr">
        <is>
          <t>Year 1 prepaid; renews $14.20/yr from Oct 2027.</t>
        </is>
      </c>
    </row>
    <row r="16">
      <c r="A16" s="11" t="inlineStr">
        <is>
          <t>Total per month</t>
        </is>
      </c>
      <c r="B16" s="20">
        <f>SUM(B5:B15)</f>
        <v/>
      </c>
      <c r="C16" s="20">
        <f>SUM(C5:C15)</f>
        <v/>
      </c>
      <c r="D16" s="20">
        <f>SUM(D5:D15)</f>
        <v/>
      </c>
      <c r="E16" s="20">
        <f>SUM(E5:E15)</f>
        <v/>
      </c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12" t="inlineStr">
        <is>
          <t>Paid launch: revenue per month</t>
        </is>
      </c>
      <c r="B18" s="2" t="n"/>
      <c r="C18" s="2" t="n"/>
      <c r="D18" s="2" t="n"/>
      <c r="E18" s="6">
        <f>Inputs!$B$13*Inputs!$B$14</f>
        <v/>
      </c>
      <c r="F18" s="2" t="n"/>
    </row>
    <row r="19">
      <c r="A19" s="11" t="inlineStr">
        <is>
          <t>Paid launch: left over after costs</t>
        </is>
      </c>
      <c r="B19" s="2" t="n"/>
      <c r="C19" s="2" t="n"/>
      <c r="D19" s="2" t="n"/>
      <c r="E19" s="20">
        <f>E18-E16</f>
        <v/>
      </c>
      <c r="F1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2026-10-23T21:51:47Z</dcterms:created>
  <dcterms:modified xsi:type="dcterms:W3CDTF">2026-10-23T21:51:47Z</dcterms:modified>
</cp:coreProperties>
</file>